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🇵🇰 E-Commerce Dashboard" sheetId="1" state="visible" r:id="rId1"/>
    <sheet xmlns:r="http://schemas.openxmlformats.org/officeDocument/2006/relationships" name="Data" sheetId="2" state="hidden" r:id="rId2"/>
    <sheet xmlns:r="http://schemas.openxmlformats.org/officeDocument/2006/relationships" name="SQL Qu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94A3B8"/>
      <sz val="10"/>
    </font>
    <font>
      <name val="Calibri"/>
      <color rgb="00FFFFFF"/>
      <sz val="18"/>
    </font>
    <font>
      <name val="Calibri"/>
      <color rgb="0094A3B8"/>
      <sz val="9"/>
    </font>
    <font>
      <name val="Calibri"/>
      <b val="1"/>
      <color rgb="00FFFFFF"/>
      <sz val="14"/>
    </font>
    <font>
      <name val="Calibri"/>
      <i val="1"/>
      <color rgb="001A7FBF"/>
      <sz val="9"/>
    </font>
    <font>
      <name val="Calibri"/>
      <i val="1"/>
      <color rgb="0000C49A"/>
      <sz val="9"/>
    </font>
    <font>
      <name val="Calibri"/>
      <i val="1"/>
      <color rgb="00F59E0B"/>
      <sz val="9"/>
    </font>
    <font>
      <name val="Calibri"/>
      <i val="1"/>
      <color rgb="00EF4444"/>
      <sz val="9"/>
    </font>
    <font>
      <name val="Calibri"/>
      <i val="1"/>
      <color rgb="008B5CF6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59E0B"/>
      <sz val="10"/>
    </font>
    <font>
      <name val="Calibri"/>
      <color rgb="00FFFFFF"/>
      <sz val="10"/>
    </font>
    <font>
      <name val="Calibri"/>
      <b val="1"/>
      <color rgb="0000C49A"/>
      <sz val="10"/>
    </font>
    <font>
      <name val="Courier New"/>
      <color rgb="0000C49A"/>
      <sz val="9"/>
    </font>
    <font>
      <name val="Calibri"/>
      <color rgb="00FFFFFF"/>
      <sz val="11"/>
    </font>
    <font>
      <name val="Courier New"/>
      <color rgb="001A7FBF"/>
      <sz val="9"/>
    </font>
    <font>
      <name val="Calibri"/>
      <b val="1"/>
      <color rgb="00F59E0B"/>
      <sz val="12"/>
    </font>
    <font>
      <name val="Calibri"/>
      <color rgb="0094A3B8"/>
      <sz val="10"/>
    </font>
    <font>
      <name val="Calibri"/>
      <b val="1"/>
      <color rgb="00F59E0B"/>
      <sz val="9"/>
    </font>
    <font>
      <name val="Calibri"/>
      <b val="1"/>
      <color rgb="0000C49A"/>
      <sz val="9"/>
    </font>
    <font>
      <name val="Calibri"/>
      <b val="1"/>
      <color rgb="001A7FBF"/>
      <sz val="9"/>
    </font>
    <font>
      <name val="Calibri"/>
      <b val="1"/>
      <color rgb="00EF4444"/>
      <sz val="9"/>
    </font>
    <font>
      <name val="Calibri"/>
      <i val="1"/>
      <color rgb="0094A3B8"/>
      <sz val="9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ourier New"/>
      <color rgb="0000C49A"/>
      <sz val="10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A3055"/>
      </patternFill>
    </fill>
    <fill>
      <patternFill patternType="solid">
        <fgColor rgb="000D2540"/>
      </patternFill>
    </fill>
    <fill>
      <patternFill patternType="solid">
        <fgColor rgb="001A7FBF"/>
      </patternFill>
    </fill>
    <fill>
      <patternFill patternType="solid">
        <fgColor rgb="00112236"/>
      </patternFill>
    </fill>
    <fill>
      <patternFill patternType="solid">
        <fgColor rgb="0000C49A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0F2540"/>
      </patternFill>
    </fill>
  </fills>
  <borders count="8">
    <border>
      <left/>
      <right/>
      <top/>
      <bottom/>
      <diagonal/>
    </border>
    <border>
      <bottom style="thin">
        <color rgb="001A7FBF"/>
      </bottom>
    </border>
    <border>
      <left style="thick">
        <color rgb="001A7FBF"/>
      </left>
      <bottom style="thin">
        <color rgb="001E3A5F"/>
      </bottom>
    </border>
    <border>
      <left style="thick">
        <color rgb="00F59E0B"/>
      </left>
      <bottom style="thin">
        <color rgb="001E3A5F"/>
      </bottom>
    </border>
    <border>
      <left style="thick">
        <color rgb="0000C49A"/>
      </left>
      <bottom style="thin">
        <color rgb="001E3A5F"/>
      </bottom>
    </border>
    <border>
      <left style="thick">
        <color rgb="00EF4444"/>
      </left>
      <bottom style="thin">
        <color rgb="001E3A5F"/>
      </bottom>
    </border>
    <border>
      <left style="thick">
        <color rgb="008B5CF6"/>
      </left>
      <bottom style="thin">
        <color rgb="001E3A5F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1" fillId="3" borderId="3" applyAlignment="1" pivotButton="0" quotePrefix="0" xfId="0">
      <alignment horizontal="left" vertical="center"/>
    </xf>
    <xf numFmtId="0" fontId="11" fillId="3" borderId="4" applyAlignment="1" pivotButton="0" quotePrefix="0" xfId="0">
      <alignment horizontal="left" vertical="center"/>
    </xf>
    <xf numFmtId="0" fontId="11" fillId="3" borderId="5" applyAlignment="1" pivotButton="0" quotePrefix="0" xfId="0">
      <alignment horizontal="left" vertical="center"/>
    </xf>
    <xf numFmtId="0" fontId="11" fillId="3" borderId="6" applyAlignment="1" pivotButton="0" quotePrefix="0" xfId="0">
      <alignment horizontal="left" vertical="center"/>
    </xf>
    <xf numFmtId="0" fontId="12" fillId="10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right" vertical="center"/>
    </xf>
    <xf numFmtId="0" fontId="16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right" vertical="center"/>
    </xf>
    <xf numFmtId="0" fontId="4" fillId="11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left" vertical="center"/>
    </xf>
    <xf numFmtId="0" fontId="17" fillId="11" borderId="0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8" fillId="6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2" fillId="11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0" fontId="24" fillId="11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right" vertical="center"/>
    </xf>
    <xf numFmtId="0" fontId="25" fillId="3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left" vertical="center"/>
    </xf>
    <xf numFmtId="0" fontId="25" fillId="3" borderId="0" applyAlignment="1" pivotButton="0" quotePrefix="0" xfId="0">
      <alignment horizontal="right" vertical="center"/>
    </xf>
    <xf numFmtId="0" fontId="26" fillId="3" borderId="0" applyAlignment="1" pivotButton="0" quotePrefix="0" xfId="0">
      <alignment horizontal="center" vertical="center"/>
    </xf>
    <xf numFmtId="0" fontId="27" fillId="5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 w="28000">
              <a:solidFill>
                <a:srgbClr val="00C49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C49A"/>
              </a:solidFill>
              <a:ln xmlns:a="http://schemas.openxmlformats.org/drawingml/2006/main">
                <a:prstDash val="solid"/>
              </a:ln>
            </spPr>
          </marker>
          <cat>
            <numRef>
              <f>'Data'!$B$2:$B$13</f>
            </numRef>
          </cat>
          <val>
            <numRef>
              <f>'Data'!$C$2:$C$13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pieChart>
        <varyColors val="1"/>
        <ser>
          <idx val="0"/>
          <order val="0"/>
          <tx>
            <strRef>
              <f>'Data'!F1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A7FB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C49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C4899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84CC16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F97316"/>
              </a:solidFill>
              <a:ln xmlns:a="http://schemas.openxmlformats.org/drawingml/2006/main">
                <a:prstDash val="solid"/>
              </a:ln>
            </spPr>
          </dPt>
          <cat>
            <numRef>
              <f>'Data'!$E$2:$E$10</f>
            </numRef>
          </cat>
          <val>
            <numRef>
              <f>'Data'!$F$2:$F$10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barChart>
        <barDir val="bar"/>
        <grouping val="clustered"/>
        <ser>
          <idx val="0"/>
          <order val="0"/>
          <tx>
            <strRef>
              <f>'Data'!J1</f>
            </strRef>
          </tx>
          <spPr>
            <a:solidFill xmlns:a="http://schemas.openxmlformats.org/drawingml/2006/main">
              <a:srgbClr val="00C49A"/>
            </a:solidFill>
            <a:ln xmlns:a="http://schemas.openxmlformats.org/drawingml/2006/main">
              <a:solidFill>
                <a:srgbClr val="00C49A"/>
              </a:solidFill>
              <a:prstDash val="solid"/>
            </a:ln>
          </spPr>
          <cat>
            <numRef>
              <f>'Data'!$I$2:$I$7</f>
            </numRef>
          </cat>
          <val>
            <numRef>
              <f>'Data'!$J$2:$J$7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'Data'!N1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C49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84CC1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97316"/>
              </a:solidFill>
              <a:ln xmlns:a="http://schemas.openxmlformats.org/drawingml/2006/main">
                <a:prstDash val="solid"/>
              </a:ln>
            </spPr>
          </dPt>
          <cat>
            <numRef>
              <f>'Data'!$M$2:$M$8</f>
            </numRef>
          </cat>
          <val>
            <numRef>
              <f>'Data'!$N$2:$N$8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strRef>
              <f>'Data'!U1</f>
            </strRef>
          </tx>
          <spPr>
            <a:ln xmlns:a="http://schemas.openxmlformats.org/drawingml/2006/main" w="22000">
              <a:solidFill>
                <a:srgbClr val="F59E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'Data'!$T$2:$T$32</f>
            </numRef>
          </cat>
          <val>
            <numRef>
              <f>'Data'!$U$2:$U$32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04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11</row>
      <rowOff>0</rowOff>
    </from>
    <ext cx="504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32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52</row>
      <rowOff>0</rowOff>
    </from>
    <ext cx="5040000" cy="41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10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.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2" customHeight="1">
      <c r="A2" s="2" t="n"/>
      <c r="B2" s="3" t="inlineStr">
        <is>
          <t>🇵🇰  PAKISTAN E-COMMERCE  ·  STRATEGIC ANALYTICS DASHBOARD</t>
        </is>
      </c>
      <c r="M2" s="4" t="inlineStr">
        <is>
          <t>Dataset: Pakistan's Largest E-Commerce  |  Period: 2016 – 2018  |  Source: Kaggle / Zusmani</t>
        </is>
      </c>
      <c r="N2" s="5" t="n"/>
      <c r="O2" s="5" t="n"/>
      <c r="P2" s="5" t="n"/>
      <c r="Q2" s="5" t="n"/>
      <c r="R2" s="5" t="n"/>
      <c r="S2" s="5" t="n"/>
      <c r="T2" s="5" t="n"/>
    </row>
    <row r="3" ht="8" customHeight="1">
      <c r="A3" s="1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1" t="n"/>
    </row>
    <row r="4" ht="4" customHeight="1">
      <c r="A4" s="1" t="n"/>
      <c r="B4" s="7" t="n"/>
      <c r="C4" s="7" t="n"/>
      <c r="D4" s="7" t="n"/>
      <c r="E4" s="8" t="n"/>
      <c r="F4" s="8" t="n"/>
      <c r="G4" s="8" t="n"/>
      <c r="H4" s="8" t="n"/>
      <c r="I4" s="8" t="n"/>
      <c r="J4" s="8" t="n"/>
      <c r="K4" s="9" t="n"/>
      <c r="L4" s="9" t="n"/>
      <c r="M4" s="9" t="n"/>
      <c r="N4" s="10" t="n"/>
      <c r="O4" s="10" t="n"/>
      <c r="P4" s="10" t="n"/>
      <c r="Q4" s="11" t="n"/>
      <c r="R4" s="11" t="n"/>
      <c r="S4" s="11" t="n"/>
      <c r="T4" s="1" t="n"/>
    </row>
    <row r="5" ht="22" customHeight="1">
      <c r="A5" s="1" t="n"/>
      <c r="B5" s="12" t="inlineStr">
        <is>
          <t>💰</t>
        </is>
      </c>
      <c r="C5" s="13" t="n"/>
      <c r="D5" s="13" t="n"/>
      <c r="E5" s="12" t="inlineStr">
        <is>
          <t>🛒</t>
        </is>
      </c>
      <c r="F5" s="13" t="n"/>
      <c r="G5" s="13" t="n"/>
      <c r="H5" s="12" t="inlineStr">
        <is>
          <t>✅</t>
        </is>
      </c>
      <c r="I5" s="13" t="n"/>
      <c r="J5" s="13" t="n"/>
      <c r="K5" s="12" t="inlineStr">
        <is>
          <t>📊</t>
        </is>
      </c>
      <c r="L5" s="13" t="n"/>
      <c r="M5" s="13" t="n"/>
      <c r="N5" s="12" t="inlineStr">
        <is>
          <t>🏷️</t>
        </is>
      </c>
      <c r="O5" s="13" t="n"/>
      <c r="P5" s="13" t="n"/>
      <c r="Q5" s="12" t="inlineStr">
        <is>
          <t>👥</t>
        </is>
      </c>
      <c r="R5" s="13" t="n"/>
      <c r="S5" s="13" t="n"/>
      <c r="T5" s="1" t="n"/>
    </row>
    <row r="6" ht="22" customHeight="1">
      <c r="A6" s="1" t="n"/>
      <c r="B6" s="14" t="inlineStr">
        <is>
          <t>Total Revenue</t>
        </is>
      </c>
      <c r="C6" s="13" t="n"/>
      <c r="D6" s="13" t="n"/>
      <c r="E6" s="14" t="inlineStr">
        <is>
          <t>Total Orders</t>
        </is>
      </c>
      <c r="F6" s="13" t="n"/>
      <c r="G6" s="13" t="n"/>
      <c r="H6" s="14" t="inlineStr">
        <is>
          <t>Completed Orders</t>
        </is>
      </c>
      <c r="I6" s="13" t="n"/>
      <c r="J6" s="13" t="n"/>
      <c r="K6" s="14" t="inlineStr">
        <is>
          <t>Avg. Order Value</t>
        </is>
      </c>
      <c r="L6" s="13" t="n"/>
      <c r="M6" s="13" t="n"/>
      <c r="N6" s="14" t="inlineStr">
        <is>
          <t>Avg. Discount</t>
        </is>
      </c>
      <c r="O6" s="13" t="n"/>
      <c r="P6" s="13" t="n"/>
      <c r="Q6" s="14" t="inlineStr">
        <is>
          <t>Unique Customers</t>
        </is>
      </c>
      <c r="R6" s="13" t="n"/>
      <c r="S6" s="13" t="n"/>
      <c r="T6" s="1" t="n"/>
    </row>
    <row r="7" ht="8" customHeight="1">
      <c r="A7" s="1" t="n"/>
      <c r="B7" s="15" t="inlineStr">
        <is>
          <t>PKR 4,675.3 M</t>
        </is>
      </c>
      <c r="C7" s="13" t="n"/>
      <c r="D7" s="13" t="n"/>
      <c r="E7" s="15" t="inlineStr">
        <is>
          <t>7,312,981</t>
        </is>
      </c>
      <c r="F7" s="13" t="n"/>
      <c r="G7" s="13" t="n"/>
      <c r="H7" s="15" t="inlineStr">
        <is>
          <t>3,892,451</t>
        </is>
      </c>
      <c r="I7" s="13" t="n"/>
      <c r="J7" s="13" t="n"/>
      <c r="K7" s="15" t="inlineStr">
        <is>
          <t>PKR 3,241.8</t>
        </is>
      </c>
      <c r="L7" s="13" t="n"/>
      <c r="M7" s="13" t="n"/>
      <c r="N7" s="15" t="inlineStr">
        <is>
          <t>8.4%</t>
        </is>
      </c>
      <c r="O7" s="13" t="n"/>
      <c r="P7" s="13" t="n"/>
      <c r="Q7" s="15" t="inlineStr">
        <is>
          <t>1,247,832</t>
        </is>
      </c>
      <c r="R7" s="13" t="n"/>
      <c r="S7" s="13" t="n"/>
      <c r="T7" s="1" t="n"/>
    </row>
    <row r="8" ht="30" customHeight="1">
      <c r="A8" s="1" t="n"/>
      <c r="B8" s="16" t="inlineStr">
        <is>
          <t>+18.4% YoY</t>
        </is>
      </c>
      <c r="C8" s="13" t="n"/>
      <c r="D8" s="13" t="n"/>
      <c r="E8" s="17" t="inlineStr">
        <is>
          <t>Across all statuses</t>
        </is>
      </c>
      <c r="F8" s="13" t="n"/>
      <c r="G8" s="13" t="n"/>
      <c r="H8" s="17" t="inlineStr">
        <is>
          <t>53.2% completion rate</t>
        </is>
      </c>
      <c r="I8" s="13" t="n"/>
      <c r="J8" s="13" t="n"/>
      <c r="K8" s="18" t="inlineStr">
        <is>
          <t>Per transaction</t>
        </is>
      </c>
      <c r="L8" s="13" t="n"/>
      <c r="M8" s="13" t="n"/>
      <c r="N8" s="19" t="inlineStr">
        <is>
          <t>On completed orders</t>
        </is>
      </c>
      <c r="O8" s="13" t="n"/>
      <c r="P8" s="13" t="n"/>
      <c r="Q8" s="20" t="inlineStr">
        <is>
          <t>Registered accounts</t>
        </is>
      </c>
      <c r="R8" s="13" t="n"/>
      <c r="S8" s="13" t="n"/>
      <c r="T8" s="1" t="n"/>
    </row>
    <row r="9" ht="4" customHeight="1">
      <c r="A9" s="1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" t="n"/>
    </row>
    <row r="10" ht="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2" customHeight="1">
      <c r="A11" s="1" t="n"/>
      <c r="B11" s="21" t="inlineStr">
        <is>
          <t xml:space="preserve">   📈  MONTHLY REVENUE TREND  (PKR Millions)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2" t="inlineStr">
        <is>
          <t xml:space="preserve">   🏷️  REVENUE SHARE BY CATEGORY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1" t="n"/>
    </row>
    <row r="12" ht="18" customHeight="1">
      <c r="A12" s="1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" t="n"/>
    </row>
    <row r="13" ht="18" customHeight="1">
      <c r="A13" s="1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" t="n"/>
    </row>
    <row r="14" ht="18" customHeight="1">
      <c r="A14" s="1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" t="n"/>
    </row>
    <row r="15" ht="18" customHeight="1">
      <c r="A15" s="1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" t="n"/>
    </row>
    <row r="16" ht="6" customHeight="1">
      <c r="A16" s="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" t="n"/>
    </row>
    <row r="17" ht="18" customHeight="1">
      <c r="A17" s="1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" t="n"/>
    </row>
    <row r="18" ht="18" customHeight="1">
      <c r="A18" s="1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" t="n"/>
    </row>
    <row r="19" ht="18" customHeight="1">
      <c r="A19" s="1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" t="n"/>
    </row>
    <row r="20" ht="18" customHeight="1">
      <c r="A20" s="1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" t="n"/>
    </row>
    <row r="21" ht="18" customHeight="1">
      <c r="A21" s="1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" t="n"/>
    </row>
    <row r="22" ht="6" customHeight="1">
      <c r="A22" s="1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" t="n"/>
    </row>
    <row r="23" ht="15" customHeight="1">
      <c r="A23" s="1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" t="n"/>
    </row>
    <row r="24" ht="15" customHeight="1">
      <c r="A24" s="1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" t="n"/>
    </row>
    <row r="25" ht="15" customHeight="1">
      <c r="A25" s="1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" t="n"/>
    </row>
    <row r="26" ht="15" customHeight="1">
      <c r="A26" s="1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" t="n"/>
    </row>
    <row r="27" ht="15" customHeight="1">
      <c r="A27" s="1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" t="n"/>
    </row>
    <row r="28" ht="15" customHeight="1">
      <c r="A28" s="1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" t="n"/>
    </row>
    <row r="29" ht="15" customHeight="1">
      <c r="A29" s="1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" t="n"/>
    </row>
    <row r="30" ht="15" customHeight="1">
      <c r="A30" s="1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" t="n"/>
    </row>
    <row r="31" ht="15" customHeight="1">
      <c r="A31" s="1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" t="n"/>
    </row>
    <row r="32" ht="22" customHeight="1">
      <c r="A32" s="1" t="n"/>
      <c r="B32" s="23" t="inlineStr">
        <is>
          <t xml:space="preserve">   💳  PAYMENT METHOD DISTRIBUTION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4" t="inlineStr">
        <is>
          <t xml:space="preserve">   📦  ORDER STATUS BREAKDOWN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1" t="n"/>
    </row>
    <row r="33" ht="15" customHeight="1">
      <c r="A33" s="1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" t="n"/>
    </row>
    <row r="34" ht="15" customHeight="1">
      <c r="A34" s="1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" t="n"/>
    </row>
    <row r="35" ht="15" customHeight="1">
      <c r="A35" s="1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" t="n"/>
    </row>
    <row r="36" ht="15" customHeight="1">
      <c r="A36" s="1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" t="n"/>
    </row>
    <row r="37" ht="15" customHeight="1">
      <c r="A37" s="1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" t="n"/>
    </row>
    <row r="38" ht="15" customHeight="1">
      <c r="A38" s="1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" t="n"/>
    </row>
    <row r="39" ht="15" customHeight="1">
      <c r="A39" s="1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" t="n"/>
    </row>
    <row r="40" ht="15" customHeight="1">
      <c r="A40" s="1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" t="n"/>
    </row>
    <row r="41" ht="15" customHeight="1">
      <c r="A41" s="1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" t="n"/>
    </row>
    <row r="42" ht="15" customHeight="1">
      <c r="A42" s="1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" t="n"/>
    </row>
    <row r="43" ht="15" customHeight="1">
      <c r="A43" s="1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" t="n"/>
    </row>
    <row r="44" ht="15" customHeight="1">
      <c r="A44" s="1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" t="n"/>
    </row>
    <row r="45" ht="15" customHeight="1">
      <c r="A45" s="1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" t="n"/>
    </row>
    <row r="46" ht="15" customHeight="1">
      <c r="A46" s="1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" t="n"/>
    </row>
    <row r="47" ht="15" customHeight="1">
      <c r="A47" s="1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" t="n"/>
    </row>
    <row r="48" ht="15" customHeight="1">
      <c r="A48" s="1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" t="n"/>
    </row>
    <row r="49" ht="15" customHeight="1">
      <c r="A49" s="1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" t="n"/>
    </row>
    <row r="50" ht="15" customHeight="1">
      <c r="A50" s="1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" t="n"/>
    </row>
    <row r="51" ht="15" customHeight="1">
      <c r="A51" s="1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" t="n"/>
    </row>
    <row r="52" ht="22" customHeight="1">
      <c r="A52" s="1" t="n"/>
      <c r="B52" s="25" t="inlineStr">
        <is>
          <t xml:space="preserve">   🏆  TOP 10 SKUs BY UNITS SOLD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2" t="inlineStr">
        <is>
          <t xml:space="preserve">   📅  DAILY REVENUE PATTERN  (PKR Millions)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1" t="n"/>
    </row>
    <row r="53" ht="20" customHeight="1">
      <c r="A53" s="1" t="n"/>
      <c r="B53" s="26" t="inlineStr">
        <is>
          <t>Rank</t>
        </is>
      </c>
      <c r="C53" s="26" t="inlineStr">
        <is>
          <t>SKU</t>
        </is>
      </c>
      <c r="E53" s="26" t="inlineStr">
        <is>
          <t>Units Sold</t>
        </is>
      </c>
      <c r="F53" s="13" t="n"/>
      <c r="G53" s="26" t="inlineStr">
        <is>
          <t>% of Total</t>
        </is>
      </c>
      <c r="H53" s="26" t="inlineStr">
        <is>
          <t>Performance</t>
        </is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" t="n"/>
    </row>
    <row r="54" ht="18" customHeight="1">
      <c r="A54" s="1" t="n"/>
      <c r="B54" s="27" t="n">
        <v>1</v>
      </c>
      <c r="C54" s="28" t="inlineStr">
        <is>
          <t>JS-8122</t>
        </is>
      </c>
      <c r="E54" s="29" t="inlineStr">
        <is>
          <t>12,847</t>
        </is>
      </c>
      <c r="F54" s="14" t="inlineStr">
        <is>
          <t>14.5%</t>
        </is>
      </c>
      <c r="G54" s="30" t="inlineStr">
        <is>
          <t>█████████░</t>
        </is>
      </c>
      <c r="H54" s="31" t="inlineStr">
        <is>
          <t>🥇</t>
        </is>
      </c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" t="n"/>
    </row>
    <row r="55" ht="18" customHeight="1">
      <c r="A55" s="1" t="n"/>
      <c r="B55" s="32" t="n">
        <v>2</v>
      </c>
      <c r="C55" s="33" t="inlineStr">
        <is>
          <t>AB-3421</t>
        </is>
      </c>
      <c r="E55" s="34" t="inlineStr">
        <is>
          <t>11,203</t>
        </is>
      </c>
      <c r="F55" s="35" t="inlineStr">
        <is>
          <t>12.6%</t>
        </is>
      </c>
      <c r="G55" s="36" t="inlineStr">
        <is>
          <t>████████░░</t>
        </is>
      </c>
      <c r="H55" s="37" t="inlineStr">
        <is>
          <t>🥈</t>
        </is>
      </c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" t="n"/>
    </row>
    <row r="56" ht="18" customHeight="1">
      <c r="A56" s="1" t="n"/>
      <c r="B56" s="27" t="n">
        <v>3</v>
      </c>
      <c r="C56" s="28" t="inlineStr">
        <is>
          <t>MX-7734</t>
        </is>
      </c>
      <c r="E56" s="29" t="inlineStr">
        <is>
          <t>9,876</t>
        </is>
      </c>
      <c r="F56" s="14" t="inlineStr">
        <is>
          <t>11.1%</t>
        </is>
      </c>
      <c r="G56" s="30" t="inlineStr">
        <is>
          <t>███████░░░</t>
        </is>
      </c>
      <c r="H56" s="31" t="inlineStr">
        <is>
          <t>🥉</t>
        </is>
      </c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" t="n"/>
    </row>
    <row r="57" ht="18" customHeight="1">
      <c r="A57" s="1" t="n"/>
      <c r="B57" s="32" t="n">
        <v>4</v>
      </c>
      <c r="C57" s="33" t="inlineStr">
        <is>
          <t>TL-2291</t>
        </is>
      </c>
      <c r="E57" s="34" t="inlineStr">
        <is>
          <t>9,342</t>
        </is>
      </c>
      <c r="F57" s="35" t="inlineStr">
        <is>
          <t>10.5%</t>
        </is>
      </c>
      <c r="G57" s="36" t="inlineStr">
        <is>
          <t>███████░░░</t>
        </is>
      </c>
      <c r="H57" s="37" t="inlineStr">
        <is>
          <t xml:space="preserve">  </t>
        </is>
      </c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" t="n"/>
    </row>
    <row r="58" ht="18" customHeight="1">
      <c r="A58" s="1" t="n"/>
      <c r="B58" s="27" t="n">
        <v>5</v>
      </c>
      <c r="C58" s="28" t="inlineStr">
        <is>
          <t>QR-5509</t>
        </is>
      </c>
      <c r="E58" s="29" t="inlineStr">
        <is>
          <t>8,901</t>
        </is>
      </c>
      <c r="F58" s="14" t="inlineStr">
        <is>
          <t>10.0%</t>
        </is>
      </c>
      <c r="G58" s="30" t="inlineStr">
        <is>
          <t>██████░░░░</t>
        </is>
      </c>
      <c r="H58" s="31" t="inlineStr">
        <is>
          <t xml:space="preserve">  </t>
        </is>
      </c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" t="n"/>
    </row>
    <row r="59" ht="18" customHeight="1">
      <c r="A59" s="1" t="n"/>
      <c r="B59" s="32" t="n">
        <v>6</v>
      </c>
      <c r="C59" s="33" t="inlineStr">
        <is>
          <t>PK-1102</t>
        </is>
      </c>
      <c r="E59" s="34" t="inlineStr">
        <is>
          <t>8,234</t>
        </is>
      </c>
      <c r="F59" s="35" t="inlineStr">
        <is>
          <t>9.3%</t>
        </is>
      </c>
      <c r="G59" s="36" t="inlineStr">
        <is>
          <t>██████░░░░</t>
        </is>
      </c>
      <c r="H59" s="37" t="inlineStr">
        <is>
          <t xml:space="preserve">  </t>
        </is>
      </c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" t="n"/>
    </row>
    <row r="60" ht="18" customHeight="1">
      <c r="A60" s="1" t="n"/>
      <c r="B60" s="27" t="n">
        <v>7</v>
      </c>
      <c r="C60" s="28" t="inlineStr">
        <is>
          <t>YZ-8843</t>
        </is>
      </c>
      <c r="E60" s="29" t="inlineStr">
        <is>
          <t>7,698</t>
        </is>
      </c>
      <c r="F60" s="14" t="inlineStr">
        <is>
          <t>8.7%</t>
        </is>
      </c>
      <c r="G60" s="30" t="inlineStr">
        <is>
          <t>█████░░░░░</t>
        </is>
      </c>
      <c r="H60" s="31" t="inlineStr">
        <is>
          <t xml:space="preserve">  </t>
        </is>
      </c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" t="n"/>
    </row>
    <row r="61" ht="18" customHeight="1">
      <c r="A61" s="1" t="n"/>
      <c r="B61" s="32" t="n">
        <v>8</v>
      </c>
      <c r="C61" s="33" t="inlineStr">
        <is>
          <t>WV-4417</t>
        </is>
      </c>
      <c r="E61" s="34" t="inlineStr">
        <is>
          <t>7,112</t>
        </is>
      </c>
      <c r="F61" s="35" t="inlineStr">
        <is>
          <t>8.0%</t>
        </is>
      </c>
      <c r="G61" s="36" t="inlineStr">
        <is>
          <t>█████░░░░░</t>
        </is>
      </c>
      <c r="H61" s="37" t="inlineStr">
        <is>
          <t xml:space="preserve">  </t>
        </is>
      </c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" t="n"/>
    </row>
    <row r="62" ht="18" customHeight="1">
      <c r="A62" s="1" t="n"/>
      <c r="B62" s="27" t="n">
        <v>9</v>
      </c>
      <c r="C62" s="28" t="inlineStr">
        <is>
          <t>LM-9930</t>
        </is>
      </c>
      <c r="E62" s="29" t="inlineStr">
        <is>
          <t>6,889</t>
        </is>
      </c>
      <c r="F62" s="14" t="inlineStr">
        <is>
          <t>7.8%</t>
        </is>
      </c>
      <c r="G62" s="30" t="inlineStr">
        <is>
          <t>█████░░░░░</t>
        </is>
      </c>
      <c r="H62" s="31" t="inlineStr">
        <is>
          <t xml:space="preserve">  </t>
        </is>
      </c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" t="n"/>
    </row>
    <row r="63" ht="18" customHeight="1">
      <c r="A63" s="1" t="n"/>
      <c r="B63" s="32" t="n">
        <v>10</v>
      </c>
      <c r="C63" s="33" t="inlineStr">
        <is>
          <t>HN-3356</t>
        </is>
      </c>
      <c r="E63" s="34" t="inlineStr">
        <is>
          <t>6,542</t>
        </is>
      </c>
      <c r="F63" s="35" t="inlineStr">
        <is>
          <t>7.4%</t>
        </is>
      </c>
      <c r="G63" s="36" t="inlineStr">
        <is>
          <t>████░░░░░░</t>
        </is>
      </c>
      <c r="H63" s="37" t="inlineStr">
        <is>
          <t xml:space="preserve">  </t>
        </is>
      </c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" t="n"/>
    </row>
    <row r="64" ht="15" customHeight="1">
      <c r="A64" s="1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" t="n"/>
    </row>
    <row r="65" ht="15" customHeight="1">
      <c r="A65" s="1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" t="n"/>
    </row>
    <row r="66" ht="15" customHeight="1">
      <c r="A66" s="1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" t="n"/>
    </row>
    <row r="67" ht="15" customHeight="1">
      <c r="A67" s="1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" t="n"/>
    </row>
    <row r="68" ht="15" customHeight="1">
      <c r="A68" s="1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" t="n"/>
    </row>
    <row r="69" ht="15" customHeight="1">
      <c r="A69" s="1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" t="n"/>
    </row>
    <row r="70" ht="15" customHeight="1">
      <c r="A70" s="1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" t="n"/>
    </row>
    <row r="71" ht="15" customHeight="1">
      <c r="A71" s="1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" t="n"/>
    </row>
    <row r="72" ht="15" customHeight="1">
      <c r="A72" s="1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" t="n"/>
    </row>
    <row r="73" ht="22" customHeight="1">
      <c r="A73" s="1" t="n"/>
      <c r="B73" s="21" t="inlineStr">
        <is>
          <t xml:space="preserve">   📊  CATEGORY PERFORMANCE MATRIX  —  Revenue Share · Units Moved · Velocity Rank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1" t="n"/>
    </row>
    <row r="74" ht="22" customHeight="1">
      <c r="A74" s="1" t="n"/>
      <c r="B74" s="38" t="inlineStr">
        <is>
          <t>Category</t>
        </is>
      </c>
      <c r="D74" s="38" t="inlineStr">
        <is>
          <t>Rev Share (%)</t>
        </is>
      </c>
      <c r="F74" s="38" t="inlineStr">
        <is>
          <t>Units Moved</t>
        </is>
      </c>
      <c r="H74" s="38" t="inlineStr">
        <is>
          <t>Velocity Rank</t>
        </is>
      </c>
      <c r="J74" s="38" t="inlineStr">
        <is>
          <t>Revenue Index</t>
        </is>
      </c>
      <c r="L74" s="38" t="inlineStr">
        <is>
          <t>Status</t>
        </is>
      </c>
      <c r="N74" s="13" t="n"/>
      <c r="O74" s="13" t="n"/>
      <c r="P74" s="13" t="n"/>
      <c r="Q74" s="13" t="n"/>
      <c r="R74" s="13" t="n"/>
      <c r="S74" s="13" t="n"/>
      <c r="T74" s="1" t="n"/>
    </row>
    <row r="75" ht="18" customHeight="1">
      <c r="A75" s="1" t="n"/>
      <c r="B75" s="28" t="inlineStr">
        <is>
          <t>Mobiles &amp; Tablets</t>
        </is>
      </c>
      <c r="D75" s="39" t="inlineStr">
        <is>
          <t>28.4%  ████████████</t>
        </is>
      </c>
      <c r="F75" s="29" t="inlineStr">
        <is>
          <t>1,842,311</t>
        </is>
      </c>
      <c r="H75" s="40" t="inlineStr">
        <is>
          <t>#1</t>
        </is>
      </c>
      <c r="J75" s="41" t="inlineStr">
        <is>
          <t>100.0</t>
        </is>
      </c>
      <c r="L75" s="42" t="inlineStr">
        <is>
          <t>🔥 STAR</t>
        </is>
      </c>
      <c r="N75" s="13" t="n"/>
      <c r="O75" s="13" t="n"/>
      <c r="P75" s="13" t="n"/>
      <c r="Q75" s="13" t="n"/>
      <c r="R75" s="13" t="n"/>
      <c r="S75" s="13" t="n"/>
      <c r="T75" s="1" t="n"/>
    </row>
    <row r="76" ht="18" customHeight="1">
      <c r="A76" s="1" t="n"/>
      <c r="B76" s="33" t="inlineStr">
        <is>
          <t>Women's Fashion</t>
        </is>
      </c>
      <c r="D76" s="43" t="inlineStr">
        <is>
          <t>18.2%  ███████▒▒▒▒▒</t>
        </is>
      </c>
      <c r="F76" s="34" t="inlineStr">
        <is>
          <t>982,456</t>
        </is>
      </c>
      <c r="H76" s="44" t="inlineStr">
        <is>
          <t>#2</t>
        </is>
      </c>
      <c r="J76" s="45" t="inlineStr">
        <is>
          <t>64.1</t>
        </is>
      </c>
      <c r="L76" s="46" t="inlineStr">
        <is>
          <t>⬆ HIGH</t>
        </is>
      </c>
      <c r="N76" s="13" t="n"/>
      <c r="O76" s="13" t="n"/>
      <c r="P76" s="13" t="n"/>
      <c r="Q76" s="13" t="n"/>
      <c r="R76" s="13" t="n"/>
      <c r="S76" s="13" t="n"/>
      <c r="T76" s="1" t="n"/>
    </row>
    <row r="77" ht="18" customHeight="1">
      <c r="A77" s="1" t="n"/>
      <c r="B77" s="28" t="inlineStr">
        <is>
          <t>Appliances</t>
        </is>
      </c>
      <c r="D77" s="39" t="inlineStr">
        <is>
          <t>11.6%  ████▒▒▒▒▒▒▒▒</t>
        </is>
      </c>
      <c r="F77" s="29" t="inlineStr">
        <is>
          <t>654,892</t>
        </is>
      </c>
      <c r="H77" s="40" t="inlineStr">
        <is>
          <t>#3</t>
        </is>
      </c>
      <c r="J77" s="41" t="inlineStr">
        <is>
          <t>40.8</t>
        </is>
      </c>
      <c r="L77" s="47" t="inlineStr">
        <is>
          <t>⬆ HIGH</t>
        </is>
      </c>
      <c r="N77" s="13" t="n"/>
      <c r="O77" s="13" t="n"/>
      <c r="P77" s="13" t="n"/>
      <c r="Q77" s="13" t="n"/>
      <c r="R77" s="13" t="n"/>
      <c r="S77" s="13" t="n"/>
      <c r="T77" s="1" t="n"/>
    </row>
    <row r="78" ht="18" customHeight="1">
      <c r="A78" s="1" t="n"/>
      <c r="B78" s="33" t="inlineStr">
        <is>
          <t>Men's Fashion</t>
        </is>
      </c>
      <c r="D78" s="43" t="inlineStr">
        <is>
          <t>9.8%  ████▒▒▒▒▒▒▒▒</t>
        </is>
      </c>
      <c r="F78" s="34" t="inlineStr">
        <is>
          <t>712,034</t>
        </is>
      </c>
      <c r="H78" s="44" t="inlineStr">
        <is>
          <t>#4</t>
        </is>
      </c>
      <c r="J78" s="45" t="inlineStr">
        <is>
          <t>34.5</t>
        </is>
      </c>
      <c r="L78" s="48" t="inlineStr">
        <is>
          <t>→ MID</t>
        </is>
      </c>
      <c r="N78" s="13" t="n"/>
      <c r="O78" s="13" t="n"/>
      <c r="P78" s="13" t="n"/>
      <c r="Q78" s="13" t="n"/>
      <c r="R78" s="13" t="n"/>
      <c r="S78" s="13" t="n"/>
      <c r="T78" s="1" t="n"/>
    </row>
    <row r="79" ht="18" customHeight="1">
      <c r="A79" s="1" t="n"/>
      <c r="B79" s="28" t="inlineStr">
        <is>
          <t>Computing</t>
        </is>
      </c>
      <c r="D79" s="39" t="inlineStr">
        <is>
          <t>8.3%  ███▒▒▒▒▒▒▒▒▒</t>
        </is>
      </c>
      <c r="F79" s="29" t="inlineStr">
        <is>
          <t>423,671</t>
        </is>
      </c>
      <c r="H79" s="40" t="inlineStr">
        <is>
          <t>#5</t>
        </is>
      </c>
      <c r="J79" s="41" t="inlineStr">
        <is>
          <t>29.2</t>
        </is>
      </c>
      <c r="L79" s="49" t="inlineStr">
        <is>
          <t>→ MID</t>
        </is>
      </c>
      <c r="N79" s="13" t="n"/>
      <c r="O79" s="13" t="n"/>
      <c r="P79" s="13" t="n"/>
      <c r="Q79" s="13" t="n"/>
      <c r="R79" s="13" t="n"/>
      <c r="S79" s="13" t="n"/>
      <c r="T79" s="1" t="n"/>
    </row>
    <row r="80" ht="18" customHeight="1">
      <c r="A80" s="1" t="n"/>
      <c r="B80" s="33" t="inlineStr">
        <is>
          <t>Entertainment</t>
        </is>
      </c>
      <c r="D80" s="43" t="inlineStr">
        <is>
          <t>6.1%  ██▒▒▒▒▒▒▒▒▒▒</t>
        </is>
      </c>
      <c r="F80" s="34" t="inlineStr">
        <is>
          <t>298,445</t>
        </is>
      </c>
      <c r="H80" s="44" t="inlineStr">
        <is>
          <t>#6</t>
        </is>
      </c>
      <c r="J80" s="45" t="inlineStr">
        <is>
          <t>21.5</t>
        </is>
      </c>
      <c r="L80" s="48" t="inlineStr">
        <is>
          <t>→ MID</t>
        </is>
      </c>
      <c r="N80" s="13" t="n"/>
      <c r="O80" s="13" t="n"/>
      <c r="P80" s="13" t="n"/>
      <c r="Q80" s="13" t="n"/>
      <c r="R80" s="13" t="n"/>
      <c r="S80" s="13" t="n"/>
      <c r="T80" s="1" t="n"/>
    </row>
    <row r="81" ht="18" customHeight="1">
      <c r="A81" s="1" t="n"/>
      <c r="B81" s="28" t="inlineStr">
        <is>
          <t>Beauty &amp; Grooming</t>
        </is>
      </c>
      <c r="D81" s="39" t="inlineStr">
        <is>
          <t>5.4%  ██▒▒▒▒▒▒▒▒▒▒</t>
        </is>
      </c>
      <c r="F81" s="29" t="inlineStr">
        <is>
          <t>187,332</t>
        </is>
      </c>
      <c r="H81" s="40" t="inlineStr">
        <is>
          <t>#7</t>
        </is>
      </c>
      <c r="J81" s="41" t="inlineStr">
        <is>
          <t>19.0</t>
        </is>
      </c>
      <c r="L81" s="50" t="inlineStr">
        <is>
          <t>⬇ LOW</t>
        </is>
      </c>
      <c r="N81" s="13" t="n"/>
      <c r="O81" s="13" t="n"/>
      <c r="P81" s="13" t="n"/>
      <c r="Q81" s="13" t="n"/>
      <c r="R81" s="13" t="n"/>
      <c r="S81" s="13" t="n"/>
      <c r="T81" s="1" t="n"/>
    </row>
    <row r="82" ht="18" customHeight="1">
      <c r="A82" s="1" t="n"/>
      <c r="B82" s="33" t="inlineStr">
        <is>
          <t>Kids &amp; Baby</t>
        </is>
      </c>
      <c r="D82" s="43" t="inlineStr">
        <is>
          <t>4.7%  █▒▒▒▒▒▒▒▒▒▒▒</t>
        </is>
      </c>
      <c r="F82" s="34" t="inlineStr">
        <is>
          <t>156,789</t>
        </is>
      </c>
      <c r="H82" s="44" t="inlineStr">
        <is>
          <t>#8</t>
        </is>
      </c>
      <c r="J82" s="45" t="inlineStr">
        <is>
          <t>16.5</t>
        </is>
      </c>
      <c r="L82" s="51" t="inlineStr">
        <is>
          <t>⬇ LOW</t>
        </is>
      </c>
      <c r="N82" s="13" t="n"/>
      <c r="O82" s="13" t="n"/>
      <c r="P82" s="13" t="n"/>
      <c r="Q82" s="13" t="n"/>
      <c r="R82" s="13" t="n"/>
      <c r="S82" s="13" t="n"/>
      <c r="T82" s="1" t="n"/>
    </row>
    <row r="83" ht="18" customHeight="1">
      <c r="A83" s="1" t="n"/>
      <c r="B83" s="28" t="inlineStr">
        <is>
          <t>Others</t>
        </is>
      </c>
      <c r="D83" s="39" t="inlineStr">
        <is>
          <t>7.5%  ███▒▒▒▒▒▒▒▒▒</t>
        </is>
      </c>
      <c r="F83" s="29" t="inlineStr">
        <is>
          <t>401,234</t>
        </is>
      </c>
      <c r="H83" s="40" t="inlineStr">
        <is>
          <t>#9</t>
        </is>
      </c>
      <c r="J83" s="41" t="inlineStr">
        <is>
          <t>26.4</t>
        </is>
      </c>
      <c r="L83" s="50" t="inlineStr">
        <is>
          <t>⬇ LOW</t>
        </is>
      </c>
      <c r="N83" s="13" t="n"/>
      <c r="O83" s="13" t="n"/>
      <c r="P83" s="13" t="n"/>
      <c r="Q83" s="13" t="n"/>
      <c r="R83" s="13" t="n"/>
      <c r="S83" s="13" t="n"/>
      <c r="T83" s="1" t="n"/>
    </row>
    <row r="84" ht="20" customHeight="1">
      <c r="A84" s="1" t="n"/>
      <c r="B84" s="52" t="inlineStr">
        <is>
          <t>TOTAL / AVERAGE</t>
        </is>
      </c>
      <c r="D84" s="53" t="inlineStr">
        <is>
          <t>100.0%</t>
        </is>
      </c>
      <c r="F84" s="54" t="inlineStr">
        <is>
          <t>5,659,164</t>
        </is>
      </c>
      <c r="H84" s="55" t="inlineStr">
        <is>
          <t>9 Categories  ·  All Active</t>
        </is>
      </c>
      <c r="N84" s="13" t="n"/>
      <c r="O84" s="13" t="n"/>
      <c r="P84" s="13" t="n"/>
      <c r="Q84" s="13" t="n"/>
      <c r="R84" s="13" t="n"/>
      <c r="S84" s="13" t="n"/>
      <c r="T84" s="1" t="n"/>
    </row>
    <row r="85" ht="15" customHeight="1">
      <c r="A85" s="1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" t="n"/>
    </row>
    <row r="86" ht="6" customHeight="1">
      <c r="A86" s="1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1" t="n"/>
    </row>
    <row r="87" ht="20" customHeight="1">
      <c r="A87" s="1" t="n"/>
      <c r="B87" s="56" t="inlineStr">
        <is>
          <t xml:space="preserve">  ⚠  Dashboard uses representative sample data matching Pakistan Largest E-Commerce Dataset schema  ·  Replace with live DB export for production use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57" t="inlineStr">
        <is>
          <t>Generated by Claude  ·  Pakistan E-Commerce Analytics  ·  2016–2018  ·  Kaggle Dataset</t>
        </is>
      </c>
      <c r="T87" s="1" t="n"/>
    </row>
    <row r="88" ht="15" customHeight="1">
      <c r="A88" s="1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" t="n"/>
    </row>
    <row r="89" ht="15" customHeight="1">
      <c r="A89" s="1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" t="n"/>
    </row>
    <row r="90" ht="1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</row>
    <row r="92" ht="1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</row>
    <row r="93" ht="1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  <row r="94" ht="1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</row>
    <row r="95" ht="1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</row>
    <row r="100" ht="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</row>
    <row r="101" ht="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</row>
    <row r="102" ht="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</row>
    <row r="103" ht="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</row>
    <row r="104" ht="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</row>
    <row r="105" ht="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</row>
    <row r="106" ht="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</row>
    <row r="107" ht="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</row>
    <row r="108" ht="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 ht="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</row>
    <row r="110" ht="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</sheetData>
  <mergeCells count="142">
    <mergeCell ref="H82:I82"/>
    <mergeCell ref="J82:K82"/>
    <mergeCell ref="C62:D62"/>
    <mergeCell ref="L82:M82"/>
    <mergeCell ref="D84:E84"/>
    <mergeCell ref="G63"/>
    <mergeCell ref="L75:M75"/>
    <mergeCell ref="F84:G84"/>
    <mergeCell ref="K52:S52"/>
    <mergeCell ref="Q6:S6"/>
    <mergeCell ref="B77:C77"/>
    <mergeCell ref="D77:E77"/>
    <mergeCell ref="B87:J87"/>
    <mergeCell ref="C54:D54"/>
    <mergeCell ref="C63:D63"/>
    <mergeCell ref="F80:G80"/>
    <mergeCell ref="F79:G79"/>
    <mergeCell ref="E7:G7"/>
    <mergeCell ref="B6:D6"/>
    <mergeCell ref="C56:D56"/>
    <mergeCell ref="H79:I79"/>
    <mergeCell ref="B78:C78"/>
    <mergeCell ref="D78:E78"/>
    <mergeCell ref="H5:J5"/>
    <mergeCell ref="B32:J32"/>
    <mergeCell ref="F81:G81"/>
    <mergeCell ref="H81:I81"/>
    <mergeCell ref="L79:M79"/>
    <mergeCell ref="K87:S87"/>
    <mergeCell ref="L81:M81"/>
    <mergeCell ref="K5:M5"/>
    <mergeCell ref="H58:J58"/>
    <mergeCell ref="B11:J11"/>
    <mergeCell ref="Q5:S5"/>
    <mergeCell ref="G55"/>
    <mergeCell ref="K32:S32"/>
    <mergeCell ref="H60:J60"/>
    <mergeCell ref="B8:D8"/>
    <mergeCell ref="N8:P8"/>
    <mergeCell ref="G54"/>
    <mergeCell ref="F74:G74"/>
    <mergeCell ref="H7:J7"/>
    <mergeCell ref="E6:G6"/>
    <mergeCell ref="H74:I74"/>
    <mergeCell ref="F83:G83"/>
    <mergeCell ref="K8:M8"/>
    <mergeCell ref="H83:I83"/>
    <mergeCell ref="J77:K77"/>
    <mergeCell ref="G56"/>
    <mergeCell ref="H57:J57"/>
    <mergeCell ref="D76:E76"/>
    <mergeCell ref="F76:G76"/>
    <mergeCell ref="J83:K83"/>
    <mergeCell ref="L83:M83"/>
    <mergeCell ref="K7:M7"/>
    <mergeCell ref="D75:E75"/>
    <mergeCell ref="F75:G75"/>
    <mergeCell ref="B5:D5"/>
    <mergeCell ref="C60:D60"/>
    <mergeCell ref="F59"/>
    <mergeCell ref="F55"/>
    <mergeCell ref="M2:S2"/>
    <mergeCell ref="H75:I75"/>
    <mergeCell ref="B84:C84"/>
    <mergeCell ref="Q7:S7"/>
    <mergeCell ref="G57"/>
    <mergeCell ref="J75:K75"/>
    <mergeCell ref="H80:I80"/>
    <mergeCell ref="G53"/>
    <mergeCell ref="B80:C80"/>
    <mergeCell ref="E8:G8"/>
    <mergeCell ref="C57:D57"/>
    <mergeCell ref="L80:M80"/>
    <mergeCell ref="Q8:S8"/>
    <mergeCell ref="G58"/>
    <mergeCell ref="C53:D53"/>
    <mergeCell ref="B79:C79"/>
    <mergeCell ref="D79:E79"/>
    <mergeCell ref="B52:J52"/>
    <mergeCell ref="H59:J59"/>
    <mergeCell ref="K11:S11"/>
    <mergeCell ref="H6:J6"/>
    <mergeCell ref="F56"/>
    <mergeCell ref="F58"/>
    <mergeCell ref="J81:K81"/>
    <mergeCell ref="B81:C81"/>
    <mergeCell ref="C58:D58"/>
    <mergeCell ref="D81:E81"/>
    <mergeCell ref="H61:J61"/>
    <mergeCell ref="F60"/>
    <mergeCell ref="F57"/>
    <mergeCell ref="B2:L2"/>
    <mergeCell ref="F63"/>
    <mergeCell ref="J74:K74"/>
    <mergeCell ref="L74:M74"/>
    <mergeCell ref="B82:C82"/>
    <mergeCell ref="C59:D59"/>
    <mergeCell ref="H8:J8"/>
    <mergeCell ref="L76:M76"/>
    <mergeCell ref="C61:D61"/>
    <mergeCell ref="H53:J53"/>
    <mergeCell ref="G62"/>
    <mergeCell ref="B83:C83"/>
    <mergeCell ref="D83:E83"/>
    <mergeCell ref="H63:J63"/>
    <mergeCell ref="F77:G77"/>
    <mergeCell ref="H77:I77"/>
    <mergeCell ref="F62"/>
    <mergeCell ref="H55:J55"/>
    <mergeCell ref="B76:C76"/>
    <mergeCell ref="L77:M77"/>
    <mergeCell ref="B75:C75"/>
    <mergeCell ref="F61"/>
    <mergeCell ref="F78:G78"/>
    <mergeCell ref="H78:I78"/>
    <mergeCell ref="N5:P5"/>
    <mergeCell ref="D80:E80"/>
    <mergeCell ref="G60"/>
    <mergeCell ref="B73:S73"/>
    <mergeCell ref="J78:K78"/>
    <mergeCell ref="L78:M78"/>
    <mergeCell ref="H84:M84"/>
    <mergeCell ref="G59"/>
    <mergeCell ref="C55:D55"/>
    <mergeCell ref="J80:K80"/>
    <mergeCell ref="F54"/>
    <mergeCell ref="N6:P6"/>
    <mergeCell ref="J79:K79"/>
    <mergeCell ref="G61"/>
    <mergeCell ref="H62:J62"/>
    <mergeCell ref="K6:M6"/>
    <mergeCell ref="B7:D7"/>
    <mergeCell ref="B74:C74"/>
    <mergeCell ref="N7:P7"/>
    <mergeCell ref="D74:E74"/>
    <mergeCell ref="H54:J54"/>
    <mergeCell ref="D82:E82"/>
    <mergeCell ref="E5:G5"/>
    <mergeCell ref="F82:G82"/>
    <mergeCell ref="H76:I76"/>
    <mergeCell ref="J76:K76"/>
    <mergeCell ref="H56:J56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Revenue_M</t>
        </is>
      </c>
      <c r="E1" t="inlineStr">
        <is>
          <t>Category</t>
        </is>
      </c>
      <c r="F1" t="inlineStr">
        <is>
          <t>Rev_Share</t>
        </is>
      </c>
      <c r="G1" t="inlineStr">
        <is>
          <t>Units</t>
        </is>
      </c>
      <c r="I1" t="inlineStr">
        <is>
          <t>Payment</t>
        </is>
      </c>
      <c r="J1" t="inlineStr">
        <is>
          <t>Share</t>
        </is>
      </c>
      <c r="K1" t="inlineStr">
        <is>
          <t>Orders</t>
        </is>
      </c>
      <c r="M1" t="inlineStr">
        <is>
          <t>Status</t>
        </is>
      </c>
      <c r="N1" t="inlineStr">
        <is>
          <t>Orders</t>
        </is>
      </c>
      <c r="O1" t="inlineStr">
        <is>
          <t>Pct</t>
        </is>
      </c>
      <c r="Q1" t="inlineStr">
        <is>
          <t>SKU</t>
        </is>
      </c>
      <c r="R1" t="inlineStr">
        <is>
          <t>Units_Sold</t>
        </is>
      </c>
      <c r="T1" t="inlineStr">
        <is>
          <t>Day</t>
        </is>
      </c>
      <c r="U1" t="inlineStr">
        <is>
          <t>Revenue_M</t>
        </is>
      </c>
    </row>
    <row r="2">
      <c r="A2" t="n">
        <v>1</v>
      </c>
      <c r="B2" t="inlineStr">
        <is>
          <t>Jan</t>
        </is>
      </c>
      <c r="C2" t="n">
        <v>312.4</v>
      </c>
      <c r="E2" t="inlineStr">
        <is>
          <t>Mobiles &amp; Tablets</t>
        </is>
      </c>
      <c r="F2" t="n">
        <v>28.4</v>
      </c>
      <c r="G2" t="n">
        <v>1842311</v>
      </c>
      <c r="I2" t="inlineStr">
        <is>
          <t>Cash on Delivery</t>
        </is>
      </c>
      <c r="J2" t="n">
        <v>73.40000000000001</v>
      </c>
      <c r="K2" t="n">
        <v>5124871</v>
      </c>
      <c r="M2" t="inlineStr">
        <is>
          <t>complete</t>
        </is>
      </c>
      <c r="N2" t="n">
        <v>3892451</v>
      </c>
      <c r="O2" t="n">
        <v>53.2</v>
      </c>
      <c r="Q2" t="inlineStr">
        <is>
          <t>JS-8122</t>
        </is>
      </c>
      <c r="R2" t="n">
        <v>12847</v>
      </c>
      <c r="T2" t="n">
        <v>1</v>
      </c>
      <c r="U2" t="n">
        <v>2.1</v>
      </c>
    </row>
    <row r="3">
      <c r="A3" t="n">
        <v>2</v>
      </c>
      <c r="B3" t="inlineStr">
        <is>
          <t>Feb</t>
        </is>
      </c>
      <c r="C3" t="n">
        <v>287.1</v>
      </c>
      <c r="E3" t="inlineStr">
        <is>
          <t>Women's Fashion</t>
        </is>
      </c>
      <c r="F3" t="n">
        <v>18.2</v>
      </c>
      <c r="G3" t="n">
        <v>982456</v>
      </c>
      <c r="I3" t="inlineStr">
        <is>
          <t>Easypay</t>
        </is>
      </c>
      <c r="J3" t="n">
        <v>10.2</v>
      </c>
      <c r="K3" t="n">
        <v>712340</v>
      </c>
      <c r="M3" t="inlineStr">
        <is>
          <t>canceled</t>
        </is>
      </c>
      <c r="N3" t="n">
        <v>1247832</v>
      </c>
      <c r="O3" t="n">
        <v>17.1</v>
      </c>
      <c r="Q3" t="inlineStr">
        <is>
          <t>AB-3421</t>
        </is>
      </c>
      <c r="R3" t="n">
        <v>11203</v>
      </c>
      <c r="T3" t="n">
        <v>2</v>
      </c>
      <c r="U3" t="n">
        <v>1.8</v>
      </c>
    </row>
    <row r="4">
      <c r="A4" t="n">
        <v>3</v>
      </c>
      <c r="B4" t="inlineStr">
        <is>
          <t>Mar</t>
        </is>
      </c>
      <c r="C4" t="n">
        <v>341.8</v>
      </c>
      <c r="E4" t="inlineStr">
        <is>
          <t>Appliances</t>
        </is>
      </c>
      <c r="F4" t="n">
        <v>11.6</v>
      </c>
      <c r="G4" t="n">
        <v>654892</v>
      </c>
      <c r="I4" t="inlineStr">
        <is>
          <t>Payaxis</t>
        </is>
      </c>
      <c r="J4" t="n">
        <v>8.800000000000001</v>
      </c>
      <c r="K4" t="n">
        <v>614230</v>
      </c>
      <c r="M4" t="inlineStr">
        <is>
          <t>order_refunded</t>
        </is>
      </c>
      <c r="N4" t="n">
        <v>389201</v>
      </c>
      <c r="O4" t="n">
        <v>5.3</v>
      </c>
      <c r="Q4" t="inlineStr">
        <is>
          <t>MX-7734</t>
        </is>
      </c>
      <c r="R4" t="n">
        <v>9876</v>
      </c>
      <c r="T4" t="n">
        <v>3</v>
      </c>
      <c r="U4" t="n">
        <v>2.3</v>
      </c>
    </row>
    <row r="5">
      <c r="A5" t="n">
        <v>4</v>
      </c>
      <c r="B5" t="inlineStr">
        <is>
          <t>Apr</t>
        </is>
      </c>
      <c r="C5" t="n">
        <v>298.6</v>
      </c>
      <c r="E5" t="inlineStr">
        <is>
          <t>Men's Fashion</t>
        </is>
      </c>
      <c r="F5" t="n">
        <v>9.800000000000001</v>
      </c>
      <c r="G5" t="n">
        <v>712034</v>
      </c>
      <c r="I5" t="inlineStr">
        <is>
          <t>Jazzwallet</t>
        </is>
      </c>
      <c r="J5" t="n">
        <v>4.1</v>
      </c>
      <c r="K5" t="n">
        <v>286450</v>
      </c>
      <c r="M5" t="inlineStr">
        <is>
          <t>pending_paypal</t>
        </is>
      </c>
      <c r="N5" t="n">
        <v>312450</v>
      </c>
      <c r="O5" t="n">
        <v>4.3</v>
      </c>
      <c r="Q5" t="inlineStr">
        <is>
          <t>TL-2291</t>
        </is>
      </c>
      <c r="R5" t="n">
        <v>9342</v>
      </c>
      <c r="T5" t="n">
        <v>4</v>
      </c>
      <c r="U5" t="n">
        <v>2</v>
      </c>
    </row>
    <row r="6">
      <c r="A6" t="n">
        <v>5</v>
      </c>
      <c r="B6" t="inlineStr">
        <is>
          <t>May</t>
        </is>
      </c>
      <c r="C6" t="n">
        <v>356.2</v>
      </c>
      <c r="E6" t="inlineStr">
        <is>
          <t>Computing</t>
        </is>
      </c>
      <c r="F6" t="n">
        <v>8.300000000000001</v>
      </c>
      <c r="G6" t="n">
        <v>423671</v>
      </c>
      <c r="I6" t="inlineStr">
        <is>
          <t>Upaisa</t>
        </is>
      </c>
      <c r="J6" t="n">
        <v>2.1</v>
      </c>
      <c r="K6" t="n">
        <v>146780</v>
      </c>
      <c r="M6" t="inlineStr">
        <is>
          <t>holded</t>
        </is>
      </c>
      <c r="N6" t="n">
        <v>287340</v>
      </c>
      <c r="O6" t="n">
        <v>3.9</v>
      </c>
      <c r="Q6" t="inlineStr">
        <is>
          <t>QR-5509</t>
        </is>
      </c>
      <c r="R6" t="n">
        <v>8901</v>
      </c>
      <c r="T6" t="n">
        <v>5</v>
      </c>
      <c r="U6" t="n">
        <v>2.4</v>
      </c>
    </row>
    <row r="7">
      <c r="A7" t="n">
        <v>6</v>
      </c>
      <c r="B7" t="inlineStr">
        <is>
          <t>Jun</t>
        </is>
      </c>
      <c r="C7" t="n">
        <v>389.7</v>
      </c>
      <c r="E7" t="inlineStr">
        <is>
          <t>Entertainment</t>
        </is>
      </c>
      <c r="F7" t="n">
        <v>6.1</v>
      </c>
      <c r="G7" t="n">
        <v>298445</v>
      </c>
      <c r="I7" t="inlineStr">
        <is>
          <t>Others</t>
        </is>
      </c>
      <c r="J7" t="n">
        <v>1.4</v>
      </c>
      <c r="K7" t="n">
        <v>97820</v>
      </c>
      <c r="M7" t="inlineStr">
        <is>
          <t>processing</t>
        </is>
      </c>
      <c r="N7" t="n">
        <v>512678</v>
      </c>
      <c r="O7" t="n">
        <v>7</v>
      </c>
      <c r="Q7" t="inlineStr">
        <is>
          <t>PK-1102</t>
        </is>
      </c>
      <c r="R7" t="n">
        <v>8234</v>
      </c>
      <c r="T7" t="n">
        <v>6</v>
      </c>
      <c r="U7" t="n">
        <v>2.7</v>
      </c>
    </row>
    <row r="8">
      <c r="A8" t="n">
        <v>7</v>
      </c>
      <c r="B8" t="inlineStr">
        <is>
          <t>Jul</t>
        </is>
      </c>
      <c r="C8" t="n">
        <v>402.3</v>
      </c>
      <c r="E8" t="inlineStr">
        <is>
          <t>Beauty &amp; Grooming</t>
        </is>
      </c>
      <c r="F8" t="n">
        <v>5.4</v>
      </c>
      <c r="G8" t="n">
        <v>187332</v>
      </c>
      <c r="M8" t="inlineStr">
        <is>
          <t>other</t>
        </is>
      </c>
      <c r="N8" t="n">
        <v>671048</v>
      </c>
      <c r="O8" t="n">
        <v>9.199999999999999</v>
      </c>
      <c r="Q8" t="inlineStr">
        <is>
          <t>YZ-8843</t>
        </is>
      </c>
      <c r="R8" t="n">
        <v>7698</v>
      </c>
      <c r="T8" t="n">
        <v>7</v>
      </c>
      <c r="U8" t="n">
        <v>3.1</v>
      </c>
    </row>
    <row r="9">
      <c r="A9" t="n">
        <v>8</v>
      </c>
      <c r="B9" t="inlineStr">
        <is>
          <t>Aug</t>
        </is>
      </c>
      <c r="C9" t="n">
        <v>378.9</v>
      </c>
      <c r="E9" t="inlineStr">
        <is>
          <t>Kids &amp; Baby</t>
        </is>
      </c>
      <c r="F9" t="n">
        <v>4.7</v>
      </c>
      <c r="G9" t="n">
        <v>156789</v>
      </c>
      <c r="Q9" t="inlineStr">
        <is>
          <t>WV-4417</t>
        </is>
      </c>
      <c r="R9" t="n">
        <v>7112</v>
      </c>
      <c r="T9" t="n">
        <v>8</v>
      </c>
      <c r="U9" t="n">
        <v>2.8</v>
      </c>
    </row>
    <row r="10">
      <c r="A10" t="n">
        <v>9</v>
      </c>
      <c r="B10" t="inlineStr">
        <is>
          <t>Sep</t>
        </is>
      </c>
      <c r="C10" t="n">
        <v>415.6</v>
      </c>
      <c r="E10" t="inlineStr">
        <is>
          <t>Others</t>
        </is>
      </c>
      <c r="F10" t="n">
        <v>7.5</v>
      </c>
      <c r="G10" t="n">
        <v>401234</v>
      </c>
      <c r="Q10" t="inlineStr">
        <is>
          <t>LM-9930</t>
        </is>
      </c>
      <c r="R10" t="n">
        <v>6889</v>
      </c>
      <c r="T10" t="n">
        <v>9</v>
      </c>
      <c r="U10" t="n">
        <v>2.5</v>
      </c>
    </row>
    <row r="11">
      <c r="A11" t="n">
        <v>10</v>
      </c>
      <c r="B11" t="inlineStr">
        <is>
          <t>Oct</t>
        </is>
      </c>
      <c r="C11" t="n">
        <v>451.2</v>
      </c>
      <c r="Q11" t="inlineStr">
        <is>
          <t>HN-3356</t>
        </is>
      </c>
      <c r="R11" t="n">
        <v>6542</v>
      </c>
      <c r="T11" t="n">
        <v>10</v>
      </c>
      <c r="U11" t="n">
        <v>2.9</v>
      </c>
    </row>
    <row r="12">
      <c r="A12" t="n">
        <v>11</v>
      </c>
      <c r="B12" t="inlineStr">
        <is>
          <t>Nov</t>
        </is>
      </c>
      <c r="C12" t="n">
        <v>498.7</v>
      </c>
      <c r="T12" t="n">
        <v>11</v>
      </c>
      <c r="U12" t="n">
        <v>3.2</v>
      </c>
    </row>
    <row r="13">
      <c r="A13" t="n">
        <v>12</v>
      </c>
      <c r="B13" t="inlineStr">
        <is>
          <t>Dec</t>
        </is>
      </c>
      <c r="C13" t="n">
        <v>543.1</v>
      </c>
      <c r="T13" t="n">
        <v>12</v>
      </c>
      <c r="U13" t="n">
        <v>3</v>
      </c>
    </row>
    <row r="14">
      <c r="T14" t="n">
        <v>13</v>
      </c>
      <c r="U14" t="n">
        <v>2.7</v>
      </c>
    </row>
    <row r="15">
      <c r="T15" t="n">
        <v>14</v>
      </c>
      <c r="U15" t="n">
        <v>2.4</v>
      </c>
    </row>
    <row r="16">
      <c r="T16" t="n">
        <v>15</v>
      </c>
      <c r="U16" t="n">
        <v>2.2</v>
      </c>
    </row>
    <row r="17">
      <c r="T17" t="n">
        <v>16</v>
      </c>
      <c r="U17" t="n">
        <v>2.6</v>
      </c>
    </row>
    <row r="18">
      <c r="T18" t="n">
        <v>17</v>
      </c>
      <c r="U18" t="n">
        <v>2.9</v>
      </c>
    </row>
    <row r="19">
      <c r="T19" t="n">
        <v>18</v>
      </c>
      <c r="U19" t="n">
        <v>3.1</v>
      </c>
    </row>
    <row r="20">
      <c r="T20" t="n">
        <v>19</v>
      </c>
      <c r="U20" t="n">
        <v>2.8</v>
      </c>
    </row>
    <row r="21">
      <c r="T21" t="n">
        <v>20</v>
      </c>
      <c r="U21" t="n">
        <v>3.4</v>
      </c>
    </row>
    <row r="22">
      <c r="T22" t="n">
        <v>21</v>
      </c>
      <c r="U22" t="n">
        <v>3.6</v>
      </c>
    </row>
    <row r="23">
      <c r="T23" t="n">
        <v>22</v>
      </c>
      <c r="U23" t="n">
        <v>3.2</v>
      </c>
    </row>
    <row r="24">
      <c r="T24" t="n">
        <v>23</v>
      </c>
      <c r="U24" t="n">
        <v>2.9</v>
      </c>
    </row>
    <row r="25">
      <c r="T25" t="n">
        <v>24</v>
      </c>
      <c r="U25" t="n">
        <v>3.1</v>
      </c>
    </row>
    <row r="26">
      <c r="T26" t="n">
        <v>25</v>
      </c>
      <c r="U26" t="n">
        <v>3.5</v>
      </c>
    </row>
    <row r="27">
      <c r="T27" t="n">
        <v>26</v>
      </c>
      <c r="U27" t="n">
        <v>3.8</v>
      </c>
    </row>
    <row r="28">
      <c r="T28" t="n">
        <v>27</v>
      </c>
      <c r="U28" t="n">
        <v>4.1</v>
      </c>
    </row>
    <row r="29">
      <c r="T29" t="n">
        <v>28</v>
      </c>
      <c r="U29" t="n">
        <v>3.7</v>
      </c>
    </row>
    <row r="30">
      <c r="T30" t="n">
        <v>29</v>
      </c>
      <c r="U30" t="n">
        <v>3.4</v>
      </c>
    </row>
    <row r="31">
      <c r="T31" t="n">
        <v>30</v>
      </c>
      <c r="U31" t="n">
        <v>3.9</v>
      </c>
    </row>
    <row r="32">
      <c r="T32" t="n">
        <v>31</v>
      </c>
      <c r="U32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6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" customWidth="1" min="12" max="12"/>
  </cols>
  <sheetData>
    <row r="1" ht="8" customHeight="1">
      <c r="A1" s="1" t="n"/>
      <c r="B1" s="58" t="inlineStr">
        <is>
          <t>SQL QUERY REFERENCE  ·  Pakistan E-Commerce Analysis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n"/>
    </row>
    <row r="2" ht="38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0" customHeight="1">
      <c r="A4" s="1" t="n"/>
      <c r="B4" s="59" t="inlineStr">
        <is>
          <t>Q01</t>
        </is>
      </c>
      <c r="C4" s="60" t="inlineStr">
        <is>
          <t>Total Revenue</t>
        </is>
      </c>
      <c r="L4" s="1" t="n"/>
    </row>
    <row r="5" ht="15" customHeight="1">
      <c r="A5" s="1" t="n"/>
      <c r="C5" s="61" t="inlineStr">
        <is>
          <t>SELECT CAST(SUM(grand_total) AS FLOAT) AS Total_revenue</t>
        </is>
      </c>
      <c r="L5" s="1" t="n"/>
    </row>
    <row r="6" ht="15" customHeight="1">
      <c r="A6" s="1" t="n"/>
      <c r="C6" s="61" t="inlineStr">
        <is>
          <t>FROM ecommerce_orders WHERE status = 'complete';</t>
        </is>
      </c>
      <c r="L6" s="1" t="n"/>
    </row>
    <row r="7" ht="15" customHeight="1">
      <c r="A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0" customHeight="1">
      <c r="A9" s="1" t="n"/>
      <c r="B9" s="59" t="inlineStr">
        <is>
          <t>Q02</t>
        </is>
      </c>
      <c r="C9" s="60" t="inlineStr">
        <is>
          <t>Order Status Breakdown</t>
        </is>
      </c>
      <c r="L9" s="1" t="n"/>
    </row>
    <row r="10" ht="15" customHeight="1">
      <c r="A10" s="1" t="n"/>
      <c r="C10" s="61" t="inlineStr">
        <is>
          <t>SELECT status, COUNT(*) AS total_orders,</t>
        </is>
      </c>
      <c r="L10" s="1" t="n"/>
    </row>
    <row r="11" ht="15" customHeight="1">
      <c r="A11" s="1" t="n"/>
      <c r="C11" s="61" t="inlineStr">
        <is>
          <t>ROUND(100.0 * COUNT(*) / SUM(COUNT(*)) OVER(), 2) AS pct</t>
        </is>
      </c>
      <c r="L11" s="1" t="n"/>
    </row>
    <row r="12" ht="15" customHeight="1">
      <c r="A12" s="1" t="n"/>
      <c r="C12" s="61" t="inlineStr">
        <is>
          <t>FROM ecommerce_orders GROUP BY status;</t>
        </is>
      </c>
      <c r="L12" s="1" t="n"/>
    </row>
    <row r="13" ht="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20" customHeight="1">
      <c r="A14" s="1" t="n"/>
      <c r="B14" s="59" t="inlineStr">
        <is>
          <t>Q03</t>
        </is>
      </c>
      <c r="C14" s="60" t="inlineStr">
        <is>
          <t>Top Revenue Categories</t>
        </is>
      </c>
      <c r="L14" s="1" t="n"/>
    </row>
    <row r="15" ht="15" customHeight="1">
      <c r="A15" s="1" t="n"/>
      <c r="C15" s="61" t="inlineStr">
        <is>
          <t>SELECT category_name_1, CAST(SUM(grand_total) AS FLOAT) AS Revenue</t>
        </is>
      </c>
      <c r="L15" s="1" t="n"/>
    </row>
    <row r="16" ht="15" customHeight="1">
      <c r="A16" s="1" t="n"/>
      <c r="C16" s="61" t="inlineStr">
        <is>
          <t>FROM ecommerce_orders WHERE status='complete'</t>
        </is>
      </c>
      <c r="L16" s="1" t="n"/>
    </row>
    <row r="17" ht="15" customHeight="1">
      <c r="A17" s="1" t="n"/>
      <c r="C17" s="61" t="inlineStr">
        <is>
          <t>GROUP BY category_name_1 ORDER BY Revenue DESC LIMIT 5;</t>
        </is>
      </c>
      <c r="L17" s="1" t="n"/>
    </row>
    <row r="18" ht="6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20" customHeight="1">
      <c r="A19" s="1" t="n"/>
      <c r="B19" s="59" t="inlineStr">
        <is>
          <t>Q04</t>
        </is>
      </c>
      <c r="C19" s="60" t="inlineStr">
        <is>
          <t>Payment Preferences</t>
        </is>
      </c>
      <c r="L19" s="1" t="n"/>
    </row>
    <row r="20" ht="15" customHeight="1">
      <c r="A20" s="1" t="n"/>
      <c r="C20" s="61" t="inlineStr">
        <is>
          <t>SELECT payment_method, COUNT(*) AS orders, SUM(grand_total) AS Revenue</t>
        </is>
      </c>
      <c r="L20" s="1" t="n"/>
    </row>
    <row r="21" ht="15" customHeight="1">
      <c r="A21" s="1" t="n"/>
      <c r="C21" s="61" t="inlineStr">
        <is>
          <t>FROM ecommerce_orders WHERE status='complete'</t>
        </is>
      </c>
      <c r="L21" s="1" t="n"/>
    </row>
    <row r="22" ht="15" customHeight="1">
      <c r="A22" s="1" t="n"/>
      <c r="C22" s="61" t="inlineStr">
        <is>
          <t>GROUP BY payment_method ORDER BY Revenue DESC;</t>
        </is>
      </c>
      <c r="L22" s="1" t="n"/>
    </row>
    <row r="23" ht="6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 ht="20" customHeight="1">
      <c r="A24" s="1" t="n"/>
      <c r="B24" s="59" t="inlineStr">
        <is>
          <t>Q05</t>
        </is>
      </c>
      <c r="C24" s="60" t="inlineStr">
        <is>
          <t>Monthly Sales Trend</t>
        </is>
      </c>
      <c r="L24" s="1" t="n"/>
    </row>
    <row r="25" ht="15" customHeight="1">
      <c r="A25" s="1" t="n"/>
      <c r="C25" s="61" t="inlineStr">
        <is>
          <t>SELECT month, CAST(SUM(grand_total) AS FLOAT) AS Monthly_revenue</t>
        </is>
      </c>
      <c r="L25" s="1" t="n"/>
    </row>
    <row r="26" ht="15" customHeight="1">
      <c r="A26" s="1" t="n"/>
      <c r="C26" s="61" t="inlineStr">
        <is>
          <t>FROM ecommerce_orders WHERE status='complete'</t>
        </is>
      </c>
      <c r="L26" s="1" t="n"/>
    </row>
    <row r="27" ht="15" customHeight="1">
      <c r="A27" s="1" t="n"/>
      <c r="C27" s="61" t="inlineStr">
        <is>
          <t>GROUP BY month ORDER BY month;</t>
        </is>
      </c>
      <c r="L27" s="1" t="n"/>
    </row>
    <row r="28" ht="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 ht="20" customHeight="1">
      <c r="A29" s="1" t="n"/>
      <c r="B29" s="59" t="inlineStr">
        <is>
          <t>Q06</t>
        </is>
      </c>
      <c r="C29" s="60" t="inlineStr">
        <is>
          <t>Average Order Value</t>
        </is>
      </c>
      <c r="L29" s="1" t="n"/>
    </row>
    <row r="30" ht="15" customHeight="1">
      <c r="A30" s="1" t="n"/>
      <c r="C30" s="61" t="inlineStr">
        <is>
          <t>SELECT SUM(grand_total)/SUM(qty_ordered) AS AOV</t>
        </is>
      </c>
      <c r="L30" s="1" t="n"/>
    </row>
    <row r="31" ht="15" customHeight="1">
      <c r="A31" s="1" t="n"/>
      <c r="C31" s="61" t="inlineStr">
        <is>
          <t>FROM ecommerce_orders WHERE status='complete';</t>
        </is>
      </c>
      <c r="L31" s="1" t="n"/>
    </row>
    <row r="32" ht="15" customHeight="1">
      <c r="A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 ht="6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 ht="20" customHeight="1">
      <c r="A34" s="1" t="n"/>
      <c r="B34" s="59" t="inlineStr">
        <is>
          <t>Q07</t>
        </is>
      </c>
      <c r="C34" s="60" t="inlineStr">
        <is>
          <t>Top 10 SKUs</t>
        </is>
      </c>
      <c r="L34" s="1" t="n"/>
    </row>
    <row r="35" ht="15" customHeight="1">
      <c r="A35" s="1" t="n"/>
      <c r="C35" s="61" t="inlineStr">
        <is>
          <t>SELECT sku, SUM(qty_ordered) AS Total_units</t>
        </is>
      </c>
      <c r="L35" s="1" t="n"/>
    </row>
    <row r="36" ht="15" customHeight="1">
      <c r="A36" s="1" t="n"/>
      <c r="C36" s="61" t="inlineStr">
        <is>
          <t>FROM ecommerce_orders WHERE status='complete'</t>
        </is>
      </c>
      <c r="L36" s="1" t="n"/>
    </row>
    <row r="37" ht="15" customHeight="1">
      <c r="A37" s="1" t="n"/>
      <c r="C37" s="61" t="inlineStr">
        <is>
          <t>GROUP BY sku ORDER BY Total_units DESC LIMIT 10;</t>
        </is>
      </c>
      <c r="L37" s="1" t="n"/>
    </row>
    <row r="38" ht="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 ht="20" customHeight="1">
      <c r="A39" s="1" t="n"/>
      <c r="B39" s="59" t="inlineStr">
        <is>
          <t>Q08</t>
        </is>
      </c>
      <c r="C39" s="60" t="inlineStr">
        <is>
          <t>Revenue Share by Category</t>
        </is>
      </c>
      <c r="L39" s="1" t="n"/>
    </row>
    <row r="40" ht="15" customHeight="1">
      <c r="A40" s="1" t="n"/>
      <c r="C40" s="61" t="inlineStr">
        <is>
          <t>SELECT category_name_1,</t>
        </is>
      </c>
      <c r="L40" s="1" t="n"/>
    </row>
    <row r="41" ht="15" customHeight="1">
      <c r="A41" s="1" t="n"/>
      <c r="C41" s="61" t="inlineStr">
        <is>
          <t>CONCAT(ROUND(SUM(grand_total)*100.0/SUM(SUM(grand_total)) OVER(),2),'%') AS Rev_Share</t>
        </is>
      </c>
      <c r="L41" s="1" t="n"/>
    </row>
    <row r="42" ht="15" customHeight="1">
      <c r="A42" s="1" t="n"/>
      <c r="C42" s="61" t="inlineStr">
        <is>
          <t>FROM ecommerce_orders GROUP BY 1 ORDER BY 1;</t>
        </is>
      </c>
      <c r="L42" s="1" t="n"/>
    </row>
    <row r="43" ht="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 ht="20" customHeight="1">
      <c r="A44" s="1" t="n"/>
      <c r="B44" s="59" t="inlineStr">
        <is>
          <t>Q09</t>
        </is>
      </c>
      <c r="C44" s="60" t="inlineStr">
        <is>
          <t>Power Users (&gt;1 Order)</t>
        </is>
      </c>
      <c r="L44" s="1" t="n"/>
    </row>
    <row r="45" ht="15" customHeight="1">
      <c r="A45" s="1" t="n"/>
      <c r="C45" s="61" t="inlineStr">
        <is>
          <t>SELECT customer_id, COUNT(qty_ordered) AS Total_orders</t>
        </is>
      </c>
      <c r="L45" s="1" t="n"/>
    </row>
    <row r="46" ht="15" customHeight="1">
      <c r="A46" s="1" t="n"/>
      <c r="C46" s="61" t="inlineStr">
        <is>
          <t>FROM ecommerce_orders GROUP BY customer_id</t>
        </is>
      </c>
      <c r="L46" s="1" t="n"/>
    </row>
    <row r="47" ht="15" customHeight="1">
      <c r="A47" s="1" t="n"/>
      <c r="C47" s="61" t="inlineStr">
        <is>
          <t>HAVING COUNT(qty_ordered) &gt; 1 ORDER BY Total_orders DESC;</t>
        </is>
      </c>
      <c r="L47" s="1" t="n"/>
    </row>
    <row r="48" ht="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 ht="20" customHeight="1">
      <c r="A49" s="1" t="n"/>
      <c r="B49" s="59" t="inlineStr">
        <is>
          <t>Q10</t>
        </is>
      </c>
      <c r="C49" s="60" t="inlineStr">
        <is>
          <t>Inventory Velocity Rank</t>
        </is>
      </c>
      <c r="L49" s="1" t="n"/>
    </row>
    <row r="50" ht="15" customHeight="1">
      <c r="A50" s="1" t="n"/>
      <c r="C50" s="61" t="inlineStr">
        <is>
          <t>SELECT category_name_1, SUM(qty_ordered) AS Qty_Moved,</t>
        </is>
      </c>
      <c r="L50" s="1" t="n"/>
    </row>
    <row r="51" ht="15" customHeight="1">
      <c r="A51" s="1" t="n"/>
      <c r="C51" s="61" t="inlineStr">
        <is>
          <t>RANK() OVER (ORDER BY SUM(qty_ordered) DESC) AS velocity_rank</t>
        </is>
      </c>
      <c r="L51" s="1" t="n"/>
    </row>
    <row r="52" ht="15" customHeight="1">
      <c r="A52" s="1" t="n"/>
      <c r="C52" s="61" t="inlineStr">
        <is>
          <t>FROM ecommerce_orders GROUP BY category_name_1;</t>
        </is>
      </c>
      <c r="L52" s="1" t="n"/>
    </row>
    <row r="53" ht="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</sheetData>
  <mergeCells count="49">
    <mergeCell ref="C47:K47"/>
    <mergeCell ref="C16:K16"/>
    <mergeCell ref="C25:K25"/>
    <mergeCell ref="C10:K10"/>
    <mergeCell ref="C41:K41"/>
    <mergeCell ref="C50:K50"/>
    <mergeCell ref="C44:K44"/>
    <mergeCell ref="C22:K22"/>
    <mergeCell ref="C40:K40"/>
    <mergeCell ref="C9:K9"/>
    <mergeCell ref="C31:K31"/>
    <mergeCell ref="C12:K12"/>
    <mergeCell ref="C46:K46"/>
    <mergeCell ref="C21:K21"/>
    <mergeCell ref="B14:B17"/>
    <mergeCell ref="C11:K11"/>
    <mergeCell ref="C51:K51"/>
    <mergeCell ref="C27:K27"/>
    <mergeCell ref="B39:B42"/>
    <mergeCell ref="C36:K36"/>
    <mergeCell ref="C52:K52"/>
    <mergeCell ref="C17:K17"/>
    <mergeCell ref="B29:B32"/>
    <mergeCell ref="C39:K39"/>
    <mergeCell ref="B19:B22"/>
    <mergeCell ref="B1:K2"/>
    <mergeCell ref="B44:B47"/>
    <mergeCell ref="B9:B12"/>
    <mergeCell ref="C19:K19"/>
    <mergeCell ref="C37:K37"/>
    <mergeCell ref="B34:B37"/>
    <mergeCell ref="C49:K49"/>
    <mergeCell ref="B24:B27"/>
    <mergeCell ref="C34:K34"/>
    <mergeCell ref="B49:B52"/>
    <mergeCell ref="C6:K6"/>
    <mergeCell ref="C24:K24"/>
    <mergeCell ref="C30:K30"/>
    <mergeCell ref="C15:K15"/>
    <mergeCell ref="C5:K5"/>
    <mergeCell ref="C42:K42"/>
    <mergeCell ref="B4:B7"/>
    <mergeCell ref="C14:K14"/>
    <mergeCell ref="C45:K45"/>
    <mergeCell ref="C26:K26"/>
    <mergeCell ref="C35:K35"/>
    <mergeCell ref="C4:K4"/>
    <mergeCell ref="C20:K20"/>
    <mergeCell ref="C29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2026-03-18T00:25:14Z</dcterms:created>
  <dcterms:modified xmlns:dcterms="http://purl.org/dc/terms/" xmlns:xsi="http://www.w3.org/2001/XMLSchema-instance" xsi:type="dcterms:W3CDTF">2026-03-18T00:25:14Z</dcterms:modified>
</cp:coreProperties>
</file>